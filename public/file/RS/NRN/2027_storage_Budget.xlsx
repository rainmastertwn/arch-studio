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opbox\1_蔡政家\產品CAD\archstudio CAD\雨水儲存\不滲透型流出抑制\"/>
    </mc:Choice>
  </mc:AlternateContent>
  <xr:revisionPtr revIDLastSave="0" documentId="13_ncr:1_{407333AA-8A07-42B2-A1CD-5E4780160958}" xr6:coauthVersionLast="47" xr6:coauthVersionMax="47" xr10:uidLastSave="{00000000-0000-0000-0000-000000000000}"/>
  <bookViews>
    <workbookView xWindow="-110" yWindow="-110" windowWidth="25820" windowHeight="15500" xr2:uid="{C34E032D-0A00-4426-9F7B-01A3DDB19FDE}"/>
  </bookViews>
  <sheets>
    <sheet name="不滲透型流出抑制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1" l="1"/>
  <c r="F15" i="1"/>
  <c r="F14" i="1"/>
  <c r="F13" i="1"/>
  <c r="F12" i="1"/>
  <c r="F26" i="1"/>
  <c r="F27" i="1"/>
  <c r="F28" i="1" l="1"/>
  <c r="F29" i="1" s="1"/>
  <c r="F7" i="1"/>
  <c r="F8" i="1"/>
  <c r="F9" i="1"/>
  <c r="F10" i="1"/>
  <c r="F11" i="1"/>
  <c r="F17" i="1" l="1"/>
</calcChain>
</file>

<file path=xl/sharedStrings.xml><?xml version="1.0" encoding="utf-8"?>
<sst xmlns="http://schemas.openxmlformats.org/spreadsheetml/2006/main" count="67" uniqueCount="46">
  <si>
    <t>項次：</t>
  </si>
  <si>
    <t>工程編號：</t>
    <phoneticPr fontId="3" type="noConversion"/>
  </si>
  <si>
    <t>計價代碼：</t>
    <phoneticPr fontId="3" type="noConversion"/>
  </si>
  <si>
    <t>工料名稱</t>
  </si>
  <si>
    <t>單位</t>
  </si>
  <si>
    <t>數量</t>
  </si>
  <si>
    <t>單價</t>
  </si>
  <si>
    <t>複價</t>
  </si>
  <si>
    <t>編碼(備註)</t>
  </si>
  <si>
    <t>合計</t>
  </si>
  <si>
    <t xml:space="preserve">人工：               機具：            </t>
    <phoneticPr fontId="3" type="noConversion"/>
  </si>
  <si>
    <t xml:space="preserve">材料：               雜項：           </t>
    <phoneticPr fontId="3" type="noConversion"/>
  </si>
  <si>
    <t>單價分析預算表</t>
    <phoneticPr fontId="3" type="noConversion"/>
  </si>
  <si>
    <t>單位：座</t>
    <phoneticPr fontId="3" type="noConversion"/>
  </si>
  <si>
    <t>槽坑挖掘</t>
    <phoneticPr fontId="6" type="noConversion"/>
  </si>
  <si>
    <t>棄土處理</t>
    <phoneticPr fontId="3" type="noConversion"/>
  </si>
  <si>
    <t>防沉格網 (含鋪設)</t>
    <phoneticPr fontId="1" type="noConversion"/>
  </si>
  <si>
    <r>
      <t>m</t>
    </r>
    <r>
      <rPr>
        <vertAlign val="superscript"/>
        <sz val="8"/>
        <rFont val="細明體"/>
        <family val="3"/>
        <charset val="136"/>
      </rPr>
      <t>3</t>
    </r>
    <phoneticPr fontId="1" type="noConversion"/>
  </si>
  <si>
    <t>個</t>
    <phoneticPr fontId="1" type="noConversion"/>
  </si>
  <si>
    <r>
      <t>m</t>
    </r>
    <r>
      <rPr>
        <vertAlign val="superscript"/>
        <sz val="8"/>
        <rFont val="細明體"/>
        <family val="3"/>
        <charset val="136"/>
      </rPr>
      <t>2</t>
    </r>
    <phoneticPr fontId="1" type="noConversion"/>
  </si>
  <si>
    <t>座</t>
    <phoneticPr fontId="1" type="noConversion"/>
  </si>
  <si>
    <t>每 座 單價計</t>
    <phoneticPr fontId="3" type="noConversion"/>
  </si>
  <si>
    <t>得標廠商負責施作</t>
    <phoneticPr fontId="1" type="noConversion"/>
  </si>
  <si>
    <t>2000psi混凝土打底(0.1m)</t>
    <phoneticPr fontId="6" type="noConversion"/>
  </si>
  <si>
    <t>槽坑回填夯實(含夯實機夯實)</t>
    <phoneticPr fontId="3" type="noConversion"/>
  </si>
  <si>
    <t>透水不織布 材料(含鋪設)</t>
    <phoneticPr fontId="1" type="noConversion"/>
  </si>
  <si>
    <t>單位：m³</t>
    <phoneticPr fontId="3" type="noConversion"/>
  </si>
  <si>
    <t>工程名稱：不滲透型流出抑制</t>
    <phoneticPr fontId="3" type="noConversion"/>
  </si>
  <si>
    <t>工作項目：不滲透型流出抑制</t>
    <phoneticPr fontId="3" type="noConversion"/>
  </si>
  <si>
    <t>m²</t>
    <phoneticPr fontId="1" type="noConversion"/>
  </si>
  <si>
    <t>每 m³ 單價計</t>
    <phoneticPr fontId="3" type="noConversion"/>
  </si>
  <si>
    <t>式</t>
    <phoneticPr fontId="1" type="noConversion"/>
  </si>
  <si>
    <t>方型集水陰井</t>
    <phoneticPr fontId="1" type="noConversion"/>
  </si>
  <si>
    <t>安裝費(含開孔及包覆不織布)</t>
    <phoneticPr fontId="1" type="noConversion"/>
  </si>
  <si>
    <t>www.rainsave.com.tw</t>
    <phoneticPr fontId="1" type="noConversion"/>
  </si>
  <si>
    <t>計算問題可至rainsave官方網頁，以計算機計算。</t>
    <phoneticPr fontId="1" type="noConversion"/>
  </si>
  <si>
    <t>設施4面側牆總面積，÷總立方數</t>
    <phoneticPr fontId="1" type="noConversion"/>
  </si>
  <si>
    <t>設施總表面積(6面面積，÷總立方數)</t>
    <phoneticPr fontId="1" type="noConversion"/>
  </si>
  <si>
    <t>設施總表面積(扣除設施頂面積後，÷總立方數)</t>
    <phoneticPr fontId="1" type="noConversion"/>
  </si>
  <si>
    <t>項次</t>
    <phoneticPr fontId="1" type="noConversion"/>
  </si>
  <si>
    <t>儲集框架主體 材料(含安裝)</t>
    <phoneticPr fontId="1" type="noConversion"/>
  </si>
  <si>
    <t>儲集框架側板 材料(含安裝)</t>
    <phoneticPr fontId="1" type="noConversion"/>
  </si>
  <si>
    <t>2.0mm HDPE不透水布 材料(含熱熔燒黏)</t>
    <phoneticPr fontId="1" type="noConversion"/>
  </si>
  <si>
    <t>設施表面積(頂面面積，÷總立方數)</t>
    <phoneticPr fontId="1" type="noConversion"/>
  </si>
  <si>
    <t>工作項目：方型集水陰井</t>
    <phoneticPr fontId="3" type="noConversion"/>
  </si>
  <si>
    <t>得標廠商負責施作，(設施頂面積 *0.1 ÷總立方數)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</si>
</sst>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00"/>
    <numFmt numFmtId="177" formatCode="#,##0;[Red]#,##0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6"/>
      <name val="細明體"/>
      <family val="3"/>
      <charset val="136"/>
    </font>
    <font>
      <sz val="9"/>
      <name val="細明體"/>
      <family val="3"/>
      <charset val="136"/>
    </font>
    <font>
      <sz val="10"/>
      <name val="細明體"/>
      <family val="3"/>
      <charset val="136"/>
    </font>
    <font>
      <sz val="8"/>
      <name val="細明體"/>
      <family val="3"/>
      <charset val="136"/>
    </font>
    <font>
      <sz val="9"/>
      <name val="新細明體"/>
      <family val="1"/>
      <charset val="136"/>
    </font>
    <font>
      <vertAlign val="superscript"/>
      <sz val="8"/>
      <name val="細明體"/>
      <family val="3"/>
      <charset val="136"/>
    </font>
    <font>
      <u/>
      <sz val="12"/>
      <color theme="1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theme="4"/>
      </left>
      <right/>
      <top style="double">
        <color theme="4"/>
      </top>
      <bottom/>
      <diagonal/>
    </border>
    <border>
      <left/>
      <right/>
      <top style="double">
        <color theme="4"/>
      </top>
      <bottom/>
      <diagonal/>
    </border>
    <border>
      <left/>
      <right style="double">
        <color theme="4"/>
      </right>
      <top style="double">
        <color theme="4"/>
      </top>
      <bottom/>
      <diagonal/>
    </border>
    <border>
      <left style="double">
        <color theme="4"/>
      </left>
      <right/>
      <top/>
      <bottom/>
      <diagonal/>
    </border>
    <border>
      <left/>
      <right style="double">
        <color theme="4"/>
      </right>
      <top/>
      <bottom/>
      <diagonal/>
    </border>
    <border>
      <left style="double">
        <color theme="4"/>
      </left>
      <right/>
      <top/>
      <bottom style="double">
        <color theme="4"/>
      </bottom>
      <diagonal/>
    </border>
    <border>
      <left/>
      <right/>
      <top/>
      <bottom style="double">
        <color theme="4"/>
      </bottom>
      <diagonal/>
    </border>
    <border>
      <left/>
      <right style="double">
        <color theme="4"/>
      </right>
      <top/>
      <bottom style="double">
        <color theme="4"/>
      </bottom>
      <diagonal/>
    </border>
  </borders>
  <cellStyleXfs count="2">
    <xf numFmtId="0" fontId="0" fillId="0" borderId="0">
      <alignment vertical="center"/>
    </xf>
    <xf numFmtId="0" fontId="8" fillId="0" borderId="0" applyNumberForma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4" fillId="0" borderId="0" xfId="0" applyFont="1" applyAlignment="1"/>
    <xf numFmtId="0" fontId="4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/>
    <xf numFmtId="0" fontId="5" fillId="0" borderId="1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4" fontId="5" fillId="0" borderId="4" xfId="0" applyNumberFormat="1" applyFont="1" applyBorder="1" applyAlignment="1">
      <alignment horizontal="right" vertical="center" shrinkToFit="1"/>
    </xf>
    <xf numFmtId="0" fontId="5" fillId="0" borderId="4" xfId="0" applyFont="1" applyBorder="1" applyAlignment="1">
      <alignment horizontal="center" vertical="center" wrapText="1"/>
    </xf>
    <xf numFmtId="176" fontId="5" fillId="0" borderId="5" xfId="0" applyNumberFormat="1" applyFont="1" applyBorder="1" applyAlignment="1">
      <alignment horizontal="right" vertical="center" shrinkToFit="1"/>
    </xf>
    <xf numFmtId="49" fontId="5" fillId="0" borderId="4" xfId="0" applyNumberFormat="1" applyFont="1" applyBorder="1" applyAlignment="1">
      <alignment horizontal="center" vertical="center"/>
    </xf>
    <xf numFmtId="49" fontId="5" fillId="0" borderId="4" xfId="0" applyNumberFormat="1" applyFont="1" applyBorder="1" applyAlignment="1">
      <alignment horizontal="left" vertical="center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5" xfId="0" applyNumberFormat="1" applyFont="1" applyBorder="1" applyAlignment="1">
      <alignment horizontal="right" vertical="center" shrinkToFit="1"/>
    </xf>
    <xf numFmtId="177" fontId="5" fillId="0" borderId="4" xfId="0" applyNumberFormat="1" applyFont="1" applyBorder="1" applyAlignment="1">
      <alignment horizontal="right" vertical="center" shrinkToFit="1"/>
    </xf>
    <xf numFmtId="0" fontId="5" fillId="0" borderId="3" xfId="0" applyFont="1" applyBorder="1" applyAlignment="1">
      <alignment horizontal="left" vertical="center" wrapText="1" indent="1"/>
    </xf>
    <xf numFmtId="0" fontId="5" fillId="0" borderId="7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left" vertical="center" indent="1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 vertical="center"/>
    </xf>
    <xf numFmtId="0" fontId="5" fillId="0" borderId="4" xfId="0" applyFont="1" applyBorder="1" applyAlignment="1"/>
    <xf numFmtId="0" fontId="5" fillId="0" borderId="10" xfId="0" applyFont="1" applyBorder="1" applyAlignment="1"/>
    <xf numFmtId="0" fontId="8" fillId="0" borderId="15" xfId="1" applyBorder="1" applyAlignment="1">
      <alignment horizontal="left" vertical="center"/>
    </xf>
    <xf numFmtId="0" fontId="5" fillId="0" borderId="16" xfId="0" applyFont="1" applyBorder="1" applyAlignment="1"/>
    <xf numFmtId="0" fontId="5" fillId="0" borderId="15" xfId="0" applyFont="1" applyBorder="1" applyAlignment="1"/>
    <xf numFmtId="0" fontId="5" fillId="0" borderId="17" xfId="0" applyFont="1" applyBorder="1" applyAlignment="1"/>
    <xf numFmtId="0" fontId="5" fillId="0" borderId="18" xfId="0" applyFont="1" applyBorder="1" applyAlignment="1"/>
    <xf numFmtId="0" fontId="5" fillId="0" borderId="19" xfId="0" applyFont="1" applyBorder="1" applyAlignment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58" fontId="4" fillId="0" borderId="0" xfId="0" applyNumberFormat="1" applyFont="1" applyAlignment="1">
      <alignment horizontal="right" vertical="center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distributed" vertical="center" wrapText="1"/>
    </xf>
    <xf numFmtId="0" fontId="5" fillId="0" borderId="3" xfId="0" applyFont="1" applyBorder="1" applyAlignment="1">
      <alignment horizontal="distributed" vertical="center" wrapText="1"/>
    </xf>
    <xf numFmtId="0" fontId="5" fillId="0" borderId="12" xfId="0" applyFont="1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5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left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3" fontId="5" fillId="0" borderId="4" xfId="0" applyNumberFormat="1" applyFont="1" applyBorder="1" applyAlignment="1">
      <alignment horizontal="right" vertical="center" shrinkToFit="1"/>
    </xf>
    <xf numFmtId="3" fontId="5" fillId="0" borderId="10" xfId="0" applyNumberFormat="1" applyFont="1" applyBorder="1" applyAlignment="1">
      <alignment horizontal="right" vertical="center" shrinkToFit="1"/>
    </xf>
    <xf numFmtId="41" fontId="5" fillId="0" borderId="4" xfId="0" applyNumberFormat="1" applyFont="1" applyBorder="1" applyAlignment="1">
      <alignment horizontal="right" vertical="center" shrinkToFit="1"/>
    </xf>
    <xf numFmtId="41" fontId="5" fillId="0" borderId="10" xfId="0" applyNumberFormat="1" applyFont="1" applyBorder="1" applyAlignment="1">
      <alignment horizontal="right" vertical="center" shrinkToFit="1"/>
    </xf>
    <xf numFmtId="0" fontId="5" fillId="0" borderId="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rainsave.com.tw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8B54-8A9F-46F7-978A-EC0EA0937FC4}">
  <dimension ref="A1:M30"/>
  <sheetViews>
    <sheetView tabSelected="1" zoomScale="130" zoomScaleNormal="130" workbookViewId="0">
      <selection activeCell="H5" sqref="H5"/>
    </sheetView>
  </sheetViews>
  <sheetFormatPr defaultRowHeight="17" x14ac:dyDescent="0.4"/>
  <cols>
    <col min="1" max="1" width="6.7265625" bestFit="1" customWidth="1"/>
    <col min="2" max="2" width="30.26953125" customWidth="1"/>
    <col min="4" max="4" width="5.6328125" customWidth="1"/>
    <col min="7" max="7" width="38.7265625" customWidth="1"/>
  </cols>
  <sheetData>
    <row r="1" spans="1:13" s="1" customFormat="1" ht="25.5" customHeight="1" x14ac:dyDescent="0.3">
      <c r="A1" s="28" t="s">
        <v>12</v>
      </c>
      <c r="B1" s="28"/>
      <c r="C1" s="28"/>
      <c r="D1" s="28"/>
      <c r="E1" s="28"/>
      <c r="F1" s="28"/>
      <c r="G1" s="28"/>
    </row>
    <row r="2" spans="1:13" s="1" customFormat="1" ht="15.75" customHeight="1" x14ac:dyDescent="0.3">
      <c r="B2" s="29" t="s">
        <v>27</v>
      </c>
      <c r="C2" s="29"/>
      <c r="D2" s="29"/>
      <c r="E2" s="29"/>
    </row>
    <row r="3" spans="1:13" s="1" customFormat="1" ht="15.75" customHeight="1" x14ac:dyDescent="0.3">
      <c r="B3" s="29"/>
      <c r="C3" s="29"/>
      <c r="D3" s="29"/>
      <c r="E3" s="29"/>
      <c r="F3" s="30"/>
      <c r="G3" s="30"/>
    </row>
    <row r="4" spans="1:13" s="1" customFormat="1" ht="15.75" customHeight="1" x14ac:dyDescent="0.3">
      <c r="A4" s="2" t="s">
        <v>0</v>
      </c>
      <c r="B4" s="2" t="s">
        <v>1</v>
      </c>
    </row>
    <row r="5" spans="1:13" s="4" customFormat="1" ht="37.9" customHeight="1" x14ac:dyDescent="0.25">
      <c r="A5" s="3"/>
      <c r="B5" s="31" t="s">
        <v>28</v>
      </c>
      <c r="C5" s="32"/>
      <c r="D5" s="33" t="s">
        <v>26</v>
      </c>
      <c r="E5" s="34"/>
      <c r="F5" s="35" t="s">
        <v>2</v>
      </c>
      <c r="G5" s="36"/>
    </row>
    <row r="6" spans="1:13" s="4" customFormat="1" ht="19.5" customHeight="1" x14ac:dyDescent="0.25">
      <c r="A6" s="19" t="s">
        <v>39</v>
      </c>
      <c r="B6" s="1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</row>
    <row r="7" spans="1:13" s="4" customFormat="1" ht="19.5" customHeight="1" x14ac:dyDescent="0.25">
      <c r="A7" s="19">
        <v>1</v>
      </c>
      <c r="B7" s="16" t="s">
        <v>14</v>
      </c>
      <c r="C7" s="6" t="s">
        <v>17</v>
      </c>
      <c r="D7" s="7">
        <v>1</v>
      </c>
      <c r="E7" s="7">
        <v>70</v>
      </c>
      <c r="F7" s="12">
        <f t="shared" ref="F7:F15" si="0">E7*D7</f>
        <v>70</v>
      </c>
      <c r="G7" s="8" t="s">
        <v>22</v>
      </c>
    </row>
    <row r="8" spans="1:13" s="4" customFormat="1" ht="19.5" customHeight="1" x14ac:dyDescent="0.25">
      <c r="A8" s="19">
        <v>2</v>
      </c>
      <c r="B8" s="16" t="s">
        <v>23</v>
      </c>
      <c r="C8" s="6" t="s">
        <v>17</v>
      </c>
      <c r="D8" s="7"/>
      <c r="E8" s="7">
        <v>1800</v>
      </c>
      <c r="F8" s="12">
        <f t="shared" si="0"/>
        <v>0</v>
      </c>
      <c r="G8" s="8" t="s">
        <v>45</v>
      </c>
    </row>
    <row r="9" spans="1:13" s="4" customFormat="1" ht="19.5" customHeight="1" x14ac:dyDescent="0.25">
      <c r="A9" s="19">
        <v>3</v>
      </c>
      <c r="B9" s="17" t="s">
        <v>15</v>
      </c>
      <c r="C9" s="6" t="s">
        <v>17</v>
      </c>
      <c r="D9" s="7">
        <v>1</v>
      </c>
      <c r="E9" s="7"/>
      <c r="F9" s="12">
        <f t="shared" si="0"/>
        <v>0</v>
      </c>
      <c r="G9" s="10" t="s">
        <v>22</v>
      </c>
    </row>
    <row r="10" spans="1:13" s="4" customFormat="1" ht="19.5" customHeight="1" x14ac:dyDescent="0.25">
      <c r="A10" s="19">
        <v>4</v>
      </c>
      <c r="B10" s="17" t="s">
        <v>24</v>
      </c>
      <c r="C10" s="6" t="s">
        <v>17</v>
      </c>
      <c r="D10" s="7">
        <v>1</v>
      </c>
      <c r="E10" s="7">
        <v>70</v>
      </c>
      <c r="F10" s="12">
        <f t="shared" si="0"/>
        <v>70</v>
      </c>
      <c r="G10" s="10" t="s">
        <v>22</v>
      </c>
    </row>
    <row r="11" spans="1:13" s="4" customFormat="1" ht="19.5" customHeight="1" thickBot="1" x14ac:dyDescent="0.3">
      <c r="A11" s="19">
        <v>5</v>
      </c>
      <c r="B11" s="17" t="s">
        <v>40</v>
      </c>
      <c r="C11" s="6" t="s">
        <v>18</v>
      </c>
      <c r="D11" s="13">
        <v>16</v>
      </c>
      <c r="E11" s="7">
        <v>500</v>
      </c>
      <c r="F11" s="12">
        <f t="shared" si="0"/>
        <v>8000</v>
      </c>
      <c r="G11" s="10"/>
    </row>
    <row r="12" spans="1:13" s="4" customFormat="1" ht="19.5" customHeight="1" thickTop="1" x14ac:dyDescent="0.25">
      <c r="A12" s="19">
        <v>6</v>
      </c>
      <c r="B12" s="17" t="s">
        <v>41</v>
      </c>
      <c r="C12" s="6" t="s">
        <v>29</v>
      </c>
      <c r="D12" s="13"/>
      <c r="E12" s="7">
        <v>2000</v>
      </c>
      <c r="F12" s="12">
        <f t="shared" si="0"/>
        <v>0</v>
      </c>
      <c r="G12" s="10" t="s">
        <v>36</v>
      </c>
      <c r="I12" s="37" t="s">
        <v>35</v>
      </c>
      <c r="J12" s="38"/>
      <c r="K12" s="38"/>
      <c r="L12" s="38"/>
      <c r="M12" s="39"/>
    </row>
    <row r="13" spans="1:13" s="4" customFormat="1" ht="19.5" customHeight="1" x14ac:dyDescent="0.25">
      <c r="A13" s="19">
        <v>7</v>
      </c>
      <c r="B13" s="17" t="s">
        <v>25</v>
      </c>
      <c r="C13" s="6" t="s">
        <v>19</v>
      </c>
      <c r="D13" s="13"/>
      <c r="E13" s="7">
        <v>250</v>
      </c>
      <c r="F13" s="12">
        <f t="shared" si="0"/>
        <v>0</v>
      </c>
      <c r="G13" s="10" t="s">
        <v>37</v>
      </c>
      <c r="I13" s="22" t="s">
        <v>34</v>
      </c>
      <c r="M13" s="23"/>
    </row>
    <row r="14" spans="1:13" s="4" customFormat="1" ht="19.5" customHeight="1" x14ac:dyDescent="0.25">
      <c r="A14" s="19">
        <v>8</v>
      </c>
      <c r="B14" s="17" t="s">
        <v>16</v>
      </c>
      <c r="C14" s="6" t="s">
        <v>19</v>
      </c>
      <c r="D14" s="13"/>
      <c r="E14" s="7">
        <v>350</v>
      </c>
      <c r="F14" s="12">
        <f t="shared" si="0"/>
        <v>0</v>
      </c>
      <c r="G14" s="10" t="s">
        <v>43</v>
      </c>
      <c r="I14" s="24"/>
      <c r="M14" s="23"/>
    </row>
    <row r="15" spans="1:13" s="4" customFormat="1" ht="19.5" customHeight="1" thickBot="1" x14ac:dyDescent="0.3">
      <c r="A15" s="19">
        <v>9</v>
      </c>
      <c r="B15" s="17" t="s">
        <v>42</v>
      </c>
      <c r="C15" s="6" t="s">
        <v>19</v>
      </c>
      <c r="D15" s="13"/>
      <c r="E15" s="7">
        <v>450</v>
      </c>
      <c r="F15" s="12">
        <f t="shared" si="0"/>
        <v>0</v>
      </c>
      <c r="G15" s="10" t="s">
        <v>38</v>
      </c>
      <c r="I15" s="25"/>
      <c r="J15" s="26"/>
      <c r="K15" s="26"/>
      <c r="L15" s="26"/>
      <c r="M15" s="27"/>
    </row>
    <row r="16" spans="1:13" s="4" customFormat="1" ht="19.5" customHeight="1" thickTop="1" x14ac:dyDescent="0.25">
      <c r="A16" s="18"/>
      <c r="B16" s="17" t="s">
        <v>9</v>
      </c>
      <c r="C16" s="6"/>
      <c r="D16" s="9"/>
      <c r="E16" s="7"/>
      <c r="F16" s="14">
        <f>F7+F8+F9+F10+F11+F12+F13+F14+F15</f>
        <v>8140</v>
      </c>
      <c r="G16" s="11"/>
    </row>
    <row r="17" spans="1:7" s="4" customFormat="1" ht="19.5" customHeight="1" x14ac:dyDescent="0.25">
      <c r="A17" s="20"/>
      <c r="B17" s="40" t="s">
        <v>10</v>
      </c>
      <c r="C17" s="41"/>
      <c r="D17" s="42" t="s">
        <v>30</v>
      </c>
      <c r="E17" s="43"/>
      <c r="F17" s="46">
        <f>F16</f>
        <v>8140</v>
      </c>
      <c r="G17" s="48"/>
    </row>
    <row r="18" spans="1:7" s="4" customFormat="1" ht="19.5" customHeight="1" x14ac:dyDescent="0.25">
      <c r="A18" s="21"/>
      <c r="B18" s="50" t="s">
        <v>11</v>
      </c>
      <c r="C18" s="51"/>
      <c r="D18" s="44"/>
      <c r="E18" s="45"/>
      <c r="F18" s="47"/>
      <c r="G18" s="49"/>
    </row>
    <row r="19" spans="1:7" s="1" customFormat="1" ht="12.75" customHeight="1" x14ac:dyDescent="0.3"/>
    <row r="20" spans="1:7" s="1" customFormat="1" ht="25.5" customHeight="1" x14ac:dyDescent="0.3">
      <c r="A20" s="28" t="s">
        <v>12</v>
      </c>
      <c r="B20" s="28"/>
      <c r="C20" s="28"/>
      <c r="D20" s="28"/>
      <c r="E20" s="28"/>
      <c r="F20" s="28"/>
      <c r="G20" s="28"/>
    </row>
    <row r="21" spans="1:7" s="1" customFormat="1" ht="15.75" customHeight="1" x14ac:dyDescent="0.3">
      <c r="B21" s="29" t="s">
        <v>27</v>
      </c>
      <c r="C21" s="29"/>
      <c r="D21" s="29"/>
      <c r="E21" s="29"/>
    </row>
    <row r="22" spans="1:7" s="1" customFormat="1" ht="15.75" customHeight="1" x14ac:dyDescent="0.3">
      <c r="B22" s="29"/>
      <c r="C22" s="29"/>
      <c r="D22" s="29"/>
      <c r="E22" s="29"/>
      <c r="F22" s="30"/>
      <c r="G22" s="30"/>
    </row>
    <row r="23" spans="1:7" s="1" customFormat="1" ht="15.75" customHeight="1" x14ac:dyDescent="0.3">
      <c r="A23" s="2" t="s">
        <v>0</v>
      </c>
      <c r="B23" s="2" t="s">
        <v>1</v>
      </c>
    </row>
    <row r="24" spans="1:7" s="4" customFormat="1" ht="37.9" customHeight="1" x14ac:dyDescent="0.25">
      <c r="A24" s="3"/>
      <c r="B24" s="31" t="s">
        <v>44</v>
      </c>
      <c r="C24" s="32"/>
      <c r="D24" s="33" t="s">
        <v>13</v>
      </c>
      <c r="E24" s="34"/>
      <c r="F24" s="35" t="s">
        <v>2</v>
      </c>
      <c r="G24" s="36"/>
    </row>
    <row r="25" spans="1:7" s="4" customFormat="1" ht="19.5" customHeight="1" x14ac:dyDescent="0.25">
      <c r="A25" s="18"/>
      <c r="B25" s="15" t="s">
        <v>3</v>
      </c>
      <c r="C25" s="5" t="s">
        <v>4</v>
      </c>
      <c r="D25" s="5" t="s">
        <v>5</v>
      </c>
      <c r="E25" s="5" t="s">
        <v>6</v>
      </c>
      <c r="F25" s="5" t="s">
        <v>7</v>
      </c>
      <c r="G25" s="5" t="s">
        <v>8</v>
      </c>
    </row>
    <row r="26" spans="1:7" s="4" customFormat="1" ht="19.5" customHeight="1" x14ac:dyDescent="0.25">
      <c r="A26" s="19">
        <v>1</v>
      </c>
      <c r="B26" s="17" t="s">
        <v>32</v>
      </c>
      <c r="C26" s="6" t="s">
        <v>20</v>
      </c>
      <c r="D26" s="13">
        <v>1</v>
      </c>
      <c r="E26" s="7">
        <v>15000</v>
      </c>
      <c r="F26" s="12">
        <f t="shared" ref="F26" si="1">E26*D26</f>
        <v>15000</v>
      </c>
      <c r="G26" s="10"/>
    </row>
    <row r="27" spans="1:7" s="4" customFormat="1" ht="19.5" customHeight="1" x14ac:dyDescent="0.25">
      <c r="A27" s="19">
        <v>2</v>
      </c>
      <c r="B27" s="17" t="s">
        <v>33</v>
      </c>
      <c r="C27" s="6" t="s">
        <v>31</v>
      </c>
      <c r="D27" s="13">
        <v>1</v>
      </c>
      <c r="E27" s="7">
        <v>2000</v>
      </c>
      <c r="F27" s="12">
        <f t="shared" ref="F27" si="2">E27*D27</f>
        <v>2000</v>
      </c>
      <c r="G27" s="10"/>
    </row>
    <row r="28" spans="1:7" s="4" customFormat="1" ht="19.5" customHeight="1" x14ac:dyDescent="0.25">
      <c r="A28" s="18"/>
      <c r="B28" s="17" t="s">
        <v>9</v>
      </c>
      <c r="C28" s="6"/>
      <c r="D28" s="9"/>
      <c r="E28" s="7"/>
      <c r="F28" s="14">
        <f>F26+F27</f>
        <v>17000</v>
      </c>
      <c r="G28" s="11"/>
    </row>
    <row r="29" spans="1:7" s="4" customFormat="1" ht="19.5" customHeight="1" x14ac:dyDescent="0.25">
      <c r="A29" s="20"/>
      <c r="B29" s="40" t="s">
        <v>10</v>
      </c>
      <c r="C29" s="41"/>
      <c r="D29" s="42" t="s">
        <v>21</v>
      </c>
      <c r="E29" s="43"/>
      <c r="F29" s="46">
        <f>F28</f>
        <v>17000</v>
      </c>
      <c r="G29" s="48"/>
    </row>
    <row r="30" spans="1:7" s="4" customFormat="1" ht="19.5" customHeight="1" x14ac:dyDescent="0.25">
      <c r="A30" s="21"/>
      <c r="B30" s="50" t="s">
        <v>11</v>
      </c>
      <c r="C30" s="51"/>
      <c r="D30" s="44"/>
      <c r="E30" s="45"/>
      <c r="F30" s="47"/>
      <c r="G30" s="49"/>
    </row>
  </sheetData>
  <mergeCells count="23">
    <mergeCell ref="B29:C29"/>
    <mergeCell ref="D29:E30"/>
    <mergeCell ref="F29:F30"/>
    <mergeCell ref="G29:G30"/>
    <mergeCell ref="B30:C30"/>
    <mergeCell ref="I12:M12"/>
    <mergeCell ref="A20:G20"/>
    <mergeCell ref="B21:E22"/>
    <mergeCell ref="F22:G22"/>
    <mergeCell ref="B24:C24"/>
    <mergeCell ref="D24:E24"/>
    <mergeCell ref="F24:G24"/>
    <mergeCell ref="B17:C17"/>
    <mergeCell ref="D17:E18"/>
    <mergeCell ref="F17:F18"/>
    <mergeCell ref="G17:G18"/>
    <mergeCell ref="B18:C18"/>
    <mergeCell ref="A1:G1"/>
    <mergeCell ref="B2:E3"/>
    <mergeCell ref="F3:G3"/>
    <mergeCell ref="B5:C5"/>
    <mergeCell ref="D5:E5"/>
    <mergeCell ref="F5:G5"/>
  </mergeCells>
  <phoneticPr fontId="1" type="noConversion"/>
  <hyperlinks>
    <hyperlink ref="I13" r:id="rId1" xr:uid="{64AF4DCF-D34D-4D25-A644-77849ED0DCC5}"/>
  </hyperlinks>
  <pageMargins left="0.7" right="0.7" top="0.75" bottom="0.75" header="0.3" footer="0.3"/>
  <pageSetup paperSize="9" orientation="landscape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不滲透型流出抑制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不滲透型流出抑制</dc:title>
  <cp:lastPrinted>2026-02-24T01:58:11Z</cp:lastPrinted>
  <dcterms:created xsi:type="dcterms:W3CDTF">2023-07-29T06:18:03Z</dcterms:created>
  <dcterms:modified xsi:type="dcterms:W3CDTF">2026-02-26T06:42:26Z</dcterms:modified>
</cp:coreProperties>
</file>